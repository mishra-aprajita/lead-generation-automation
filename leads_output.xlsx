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  <sheet name="Summary" sheetId="2" state="visible" r:id="rId2"/>
  </sheets>
  <definedNames>
    <definedName name="_xlnm._FilterDatabase" localSheetId="0" hidden="1">'Leads'!$A$1:$I$31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F4E79"/>
      <sz val="14"/>
    </font>
    <font>
      <name val="Arial"/>
      <b val="1"/>
      <sz val="11"/>
    </font>
    <font>
      <name val="Arial"/>
      <sz val="11"/>
    </font>
    <font>
      <name val="Arial"/>
      <b val="1"/>
      <color rgb="001F4E79"/>
      <sz val="12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5" customWidth="1" min="2" max="2"/>
    <col width="40" customWidth="1" min="3" max="3"/>
    <col width="20" customWidth="1" min="4" max="4"/>
    <col width="38" customWidth="1" min="5" max="5"/>
    <col width="45" customWidth="1" min="6" max="6"/>
    <col width="22" customWidth="1" min="7" max="7"/>
    <col width="14" customWidth="1" min="8" max="8"/>
    <col width="12" customWidth="1" min="9" max="9"/>
  </cols>
  <sheetData>
    <row r="1" ht="30" customHeight="1">
      <c r="A1" s="1" t="inlineStr">
        <is>
          <t>Name</t>
        </is>
      </c>
      <c r="B1" s="1" t="inlineStr">
        <is>
          <t>Location</t>
        </is>
      </c>
      <c r="C1" s="1" t="inlineStr">
        <is>
          <t>Website</t>
        </is>
      </c>
      <c r="D1" s="1" t="inlineStr">
        <is>
          <t>Category</t>
        </is>
      </c>
      <c r="E1" s="1" t="inlineStr">
        <is>
          <t>Email</t>
        </is>
      </c>
      <c r="F1" s="1" t="inlineStr">
        <is>
          <t>LinkedIn</t>
        </is>
      </c>
      <c r="G1" s="1" t="inlineStr">
        <is>
          <t>Source</t>
        </is>
      </c>
      <c r="H1" s="1" t="inlineStr">
        <is>
          <t>Collected On</t>
        </is>
      </c>
      <c r="I1" s="1" t="inlineStr">
        <is>
          <t>Email Valid</t>
        </is>
      </c>
    </row>
    <row r="2">
      <c r="A2" s="2" t="inlineStr">
        <is>
          <t>Pratham Education Foundation</t>
        </is>
      </c>
      <c r="B2" s="2" t="inlineStr">
        <is>
          <t>Mumbai, Maharashtra</t>
        </is>
      </c>
      <c r="C2" s="2" t="inlineStr">
        <is>
          <t>https://www.pratham.org</t>
        </is>
      </c>
      <c r="D2" s="2" t="inlineStr">
        <is>
          <t>Education</t>
        </is>
      </c>
      <c r="E2" s="2" t="inlineStr">
        <is>
          <t>info@pratham.org</t>
        </is>
      </c>
      <c r="F2" s="2" t="inlineStr">
        <is>
          <t>https://www.linkedin.com/company/pratham-education-foundation</t>
        </is>
      </c>
      <c r="G2" s="2" t="inlineStr">
        <is>
          <t>Public NGO Directory</t>
        </is>
      </c>
      <c r="H2" s="2" t="inlineStr">
        <is>
          <t>2026-05-07</t>
        </is>
      </c>
      <c r="I2" s="2" t="b">
        <v>1</v>
      </c>
    </row>
    <row r="3">
      <c r="A3" s="3" t="inlineStr">
        <is>
          <t>Goonj</t>
        </is>
      </c>
      <c r="B3" s="3" t="inlineStr">
        <is>
          <t>New Delhi, Delhi</t>
        </is>
      </c>
      <c r="C3" s="3" t="inlineStr">
        <is>
          <t>https://goonj.org</t>
        </is>
      </c>
      <c r="D3" s="3" t="inlineStr">
        <is>
          <t>Humanitarian</t>
        </is>
      </c>
      <c r="E3" s="3" t="inlineStr">
        <is>
          <t>info@goonj.org</t>
        </is>
      </c>
      <c r="F3" s="3" t="inlineStr">
        <is>
          <t>https://www.linkedin.com/company/goonj</t>
        </is>
      </c>
      <c r="G3" s="3" t="inlineStr">
        <is>
          <t>Public NGO Directory</t>
        </is>
      </c>
      <c r="H3" s="3" t="inlineStr">
        <is>
          <t>2026-05-07</t>
        </is>
      </c>
      <c r="I3" s="3" t="b">
        <v>1</v>
      </c>
    </row>
    <row r="4">
      <c r="A4" s="2" t="inlineStr">
        <is>
          <t>Akshaya Patra Foundation</t>
        </is>
      </c>
      <c r="B4" s="2" t="inlineStr">
        <is>
          <t>Bengaluru, Karnataka</t>
        </is>
      </c>
      <c r="C4" s="2" t="inlineStr">
        <is>
          <t>https://www.akshayapatra.org</t>
        </is>
      </c>
      <c r="D4" s="2" t="inlineStr">
        <is>
          <t>Food Security</t>
        </is>
      </c>
      <c r="E4" s="2" t="inlineStr">
        <is>
          <t>info@akshayapatra.org</t>
        </is>
      </c>
      <c r="F4" s="2" t="inlineStr">
        <is>
          <t>https://www.linkedin.com/company/akshaya-patra-foundation</t>
        </is>
      </c>
      <c r="G4" s="2" t="inlineStr">
        <is>
          <t>Public NGO Directory</t>
        </is>
      </c>
      <c r="H4" s="2" t="inlineStr">
        <is>
          <t>2026-05-07</t>
        </is>
      </c>
      <c r="I4" s="2" t="b">
        <v>1</v>
      </c>
    </row>
    <row r="5">
      <c r="A5" s="3" t="inlineStr">
        <is>
          <t>CRY – Child Rights and You</t>
        </is>
      </c>
      <c r="B5" s="3" t="inlineStr">
        <is>
          <t>Mumbai, Maharashtra</t>
        </is>
      </c>
      <c r="C5" s="3" t="inlineStr">
        <is>
          <t>https://www.cry.org</t>
        </is>
      </c>
      <c r="D5" s="3" t="inlineStr">
        <is>
          <t>Child Rights</t>
        </is>
      </c>
      <c r="E5" s="3" t="inlineStr">
        <is>
          <t>info@cry.org</t>
        </is>
      </c>
      <c r="F5" s="3" t="inlineStr">
        <is>
          <t>https://www.linkedin.com/company/cry-child-rights-and-you</t>
        </is>
      </c>
      <c r="G5" s="3" t="inlineStr">
        <is>
          <t>Public NGO Directory</t>
        </is>
      </c>
      <c r="H5" s="3" t="inlineStr">
        <is>
          <t>2026-05-07</t>
        </is>
      </c>
      <c r="I5" s="3" t="b">
        <v>1</v>
      </c>
    </row>
    <row r="6">
      <c r="A6" s="2" t="inlineStr">
        <is>
          <t>Smile Foundation</t>
        </is>
      </c>
      <c r="B6" s="2" t="inlineStr">
        <is>
          <t>New Delhi, Delhi</t>
        </is>
      </c>
      <c r="C6" s="2" t="inlineStr">
        <is>
          <t>https://www.smilefoundationindia.org</t>
        </is>
      </c>
      <c r="D6" s="2" t="inlineStr">
        <is>
          <t>Education</t>
        </is>
      </c>
      <c r="E6" s="2" t="inlineStr">
        <is>
          <t>info@smilefoundationindia.org</t>
        </is>
      </c>
      <c r="F6" s="2" t="inlineStr">
        <is>
          <t>https://www.linkedin.com/company/smile-foundation</t>
        </is>
      </c>
      <c r="G6" s="2" t="inlineStr">
        <is>
          <t>Public NGO Directory</t>
        </is>
      </c>
      <c r="H6" s="2" t="inlineStr">
        <is>
          <t>2026-05-07</t>
        </is>
      </c>
      <c r="I6" s="2" t="b">
        <v>1</v>
      </c>
    </row>
    <row r="7">
      <c r="A7" s="3" t="inlineStr">
        <is>
          <t>HelpAge India</t>
        </is>
      </c>
      <c r="B7" s="3" t="inlineStr">
        <is>
          <t>New Delhi, Delhi</t>
        </is>
      </c>
      <c r="C7" s="3" t="inlineStr">
        <is>
          <t>https://www.helpageindia.org</t>
        </is>
      </c>
      <c r="D7" s="3" t="inlineStr">
        <is>
          <t>Elder Care</t>
        </is>
      </c>
      <c r="E7" s="3" t="inlineStr">
        <is>
          <t>info@helpageindia.org</t>
        </is>
      </c>
      <c r="F7" s="3" t="inlineStr">
        <is>
          <t>https://www.linkedin.com/company/helpage-india</t>
        </is>
      </c>
      <c r="G7" s="3" t="inlineStr">
        <is>
          <t>Public NGO Directory</t>
        </is>
      </c>
      <c r="H7" s="3" t="inlineStr">
        <is>
          <t>2026-05-07</t>
        </is>
      </c>
      <c r="I7" s="3" t="b">
        <v>1</v>
      </c>
    </row>
    <row r="8">
      <c r="A8" s="2" t="inlineStr">
        <is>
          <t>Udaan India Foundation</t>
        </is>
      </c>
      <c r="B8" s="2" t="inlineStr">
        <is>
          <t>Jaipur, Rajasthan</t>
        </is>
      </c>
      <c r="C8" s="2" t="inlineStr">
        <is>
          <t>https://udaanindiaorg.com</t>
        </is>
      </c>
      <c r="D8" s="2" t="inlineStr">
        <is>
          <t>Education</t>
        </is>
      </c>
      <c r="E8" s="2" t="inlineStr">
        <is>
          <t>info@udaanindiaorg.com</t>
        </is>
      </c>
      <c r="F8" s="2" t="inlineStr">
        <is>
          <t>https://www.linkedin.com/company/udaan-india-foundation</t>
        </is>
      </c>
      <c r="G8" s="2" t="inlineStr">
        <is>
          <t>Public NGO Directory</t>
        </is>
      </c>
      <c r="H8" s="2" t="inlineStr">
        <is>
          <t>2026-05-07</t>
        </is>
      </c>
      <c r="I8" s="2" t="b">
        <v>1</v>
      </c>
    </row>
    <row r="9">
      <c r="A9" s="3" t="inlineStr">
        <is>
          <t>Magic Bus India Foundation</t>
        </is>
      </c>
      <c r="B9" s="3" t="inlineStr">
        <is>
          <t>Mumbai, Maharashtra</t>
        </is>
      </c>
      <c r="C9" s="3" t="inlineStr">
        <is>
          <t>https://www.magicbus.org</t>
        </is>
      </c>
      <c r="D9" s="3" t="inlineStr">
        <is>
          <t>Youth Development</t>
        </is>
      </c>
      <c r="E9" s="3" t="inlineStr">
        <is>
          <t>info@magicbus.org</t>
        </is>
      </c>
      <c r="F9" s="3" t="inlineStr">
        <is>
          <t>https://www.linkedin.com/company/magic-bus-india-foundation</t>
        </is>
      </c>
      <c r="G9" s="3" t="inlineStr">
        <is>
          <t>Public NGO Directory</t>
        </is>
      </c>
      <c r="H9" s="3" t="inlineStr">
        <is>
          <t>2026-05-07</t>
        </is>
      </c>
      <c r="I9" s="3" t="b">
        <v>1</v>
      </c>
    </row>
    <row r="10">
      <c r="A10" s="2" t="inlineStr">
        <is>
          <t>Nanhi Kali</t>
        </is>
      </c>
      <c r="B10" s="2" t="inlineStr">
        <is>
          <t>Mumbai, Maharashtra</t>
        </is>
      </c>
      <c r="C10" s="2" t="inlineStr">
        <is>
          <t>https://www.nanhikali.org</t>
        </is>
      </c>
      <c r="D10" s="2" t="inlineStr">
        <is>
          <t>Girl Education</t>
        </is>
      </c>
      <c r="E10" s="2" t="inlineStr">
        <is>
          <t>info@nanhikali.org</t>
        </is>
      </c>
      <c r="F10" s="2" t="inlineStr">
        <is>
          <t>https://www.linkedin.com/company/nanhi-kali</t>
        </is>
      </c>
      <c r="G10" s="2" t="inlineStr">
        <is>
          <t>Public NGO Directory</t>
        </is>
      </c>
      <c r="H10" s="2" t="inlineStr">
        <is>
          <t>2026-05-07</t>
        </is>
      </c>
      <c r="I10" s="2" t="b">
        <v>1</v>
      </c>
    </row>
    <row r="11">
      <c r="A11" s="3" t="inlineStr">
        <is>
          <t>iPartner India</t>
        </is>
      </c>
      <c r="B11" s="3" t="inlineStr">
        <is>
          <t>Chennai, Tamil Nadu</t>
        </is>
      </c>
      <c r="C11" s="3" t="inlineStr">
        <is>
          <t>https://www.ipartnerindia.org</t>
        </is>
      </c>
      <c r="D11" s="3" t="inlineStr">
        <is>
          <t>Livelihood</t>
        </is>
      </c>
      <c r="E11" s="3" t="inlineStr">
        <is>
          <t>info@ipartnerindia.org</t>
        </is>
      </c>
      <c r="F11" s="3" t="inlineStr">
        <is>
          <t>https://www.linkedin.com/company/ipartner-india</t>
        </is>
      </c>
      <c r="G11" s="3" t="inlineStr">
        <is>
          <t>Public NGO Directory</t>
        </is>
      </c>
      <c r="H11" s="3" t="inlineStr">
        <is>
          <t>2026-05-07</t>
        </is>
      </c>
      <c r="I11" s="3" t="b">
        <v>1</v>
      </c>
    </row>
    <row r="12">
      <c r="A12" s="2" t="inlineStr">
        <is>
          <t>Teach For India</t>
        </is>
      </c>
      <c r="B12" s="2" t="inlineStr">
        <is>
          <t>Mumbai, Maharashtra</t>
        </is>
      </c>
      <c r="C12" s="2" t="inlineStr">
        <is>
          <t>https://www.teachforindia.org</t>
        </is>
      </c>
      <c r="D12" s="2" t="inlineStr">
        <is>
          <t>Education</t>
        </is>
      </c>
      <c r="E12" s="2" t="inlineStr">
        <is>
          <t>info@teachforindia.org</t>
        </is>
      </c>
      <c r="F12" s="2" t="inlineStr">
        <is>
          <t>https://www.linkedin.com/company/teach-for-india</t>
        </is>
      </c>
      <c r="G12" s="2" t="inlineStr">
        <is>
          <t>Public NGO Directory</t>
        </is>
      </c>
      <c r="H12" s="2" t="inlineStr">
        <is>
          <t>2026-05-07</t>
        </is>
      </c>
      <c r="I12" s="2" t="b">
        <v>1</v>
      </c>
    </row>
    <row r="13">
      <c r="A13" s="3" t="inlineStr">
        <is>
          <t>Sammaan Foundation</t>
        </is>
      </c>
      <c r="B13" s="3" t="inlineStr">
        <is>
          <t>Patna, Bihar</t>
        </is>
      </c>
      <c r="C13" s="3" t="inlineStr">
        <is>
          <t>https://sammaanfoundation.org</t>
        </is>
      </c>
      <c r="D13" s="3" t="inlineStr">
        <is>
          <t>Sanitation</t>
        </is>
      </c>
      <c r="E13" s="3" t="inlineStr">
        <is>
          <t>info@sammaanfoundation.org</t>
        </is>
      </c>
      <c r="F13" s="3" t="inlineStr">
        <is>
          <t>https://www.linkedin.com/company/sammaan-foundation</t>
        </is>
      </c>
      <c r="G13" s="3" t="inlineStr">
        <is>
          <t>Public NGO Directory</t>
        </is>
      </c>
      <c r="H13" s="3" t="inlineStr">
        <is>
          <t>2026-05-07</t>
        </is>
      </c>
      <c r="I13" s="3" t="b">
        <v>1</v>
      </c>
    </row>
    <row r="14">
      <c r="A14" s="2" t="inlineStr">
        <is>
          <t>GiveIndia Foundation</t>
        </is>
      </c>
      <c r="B14" s="2" t="inlineStr">
        <is>
          <t>Bengaluru, Karnataka</t>
        </is>
      </c>
      <c r="C14" s="2" t="inlineStr">
        <is>
          <t>https://www.giveindia.org</t>
        </is>
      </c>
      <c r="D14" s="2" t="inlineStr">
        <is>
          <t>Platform</t>
        </is>
      </c>
      <c r="E14" s="2" t="inlineStr">
        <is>
          <t>info@giveindia.org</t>
        </is>
      </c>
      <c r="F14" s="2" t="inlineStr">
        <is>
          <t>https://www.linkedin.com/company/giveindia-foundation</t>
        </is>
      </c>
      <c r="G14" s="2" t="inlineStr">
        <is>
          <t>Public NGO Directory</t>
        </is>
      </c>
      <c r="H14" s="2" t="inlineStr">
        <is>
          <t>2026-05-07</t>
        </is>
      </c>
      <c r="I14" s="2" t="b">
        <v>1</v>
      </c>
    </row>
    <row r="15">
      <c r="A15" s="3" t="inlineStr">
        <is>
          <t>Muktangan</t>
        </is>
      </c>
      <c r="B15" s="3" t="inlineStr">
        <is>
          <t>Mumbai, Maharashtra</t>
        </is>
      </c>
      <c r="C15" s="3" t="inlineStr">
        <is>
          <t>https://www.muktangan.org</t>
        </is>
      </c>
      <c r="D15" s="3" t="inlineStr">
        <is>
          <t>Education</t>
        </is>
      </c>
      <c r="E15" s="3" t="inlineStr">
        <is>
          <t>info@muktangan.org</t>
        </is>
      </c>
      <c r="F15" s="3" t="inlineStr">
        <is>
          <t>https://www.linkedin.com/company/muktangan</t>
        </is>
      </c>
      <c r="G15" s="3" t="inlineStr">
        <is>
          <t>Public NGO Directory</t>
        </is>
      </c>
      <c r="H15" s="3" t="inlineStr">
        <is>
          <t>2026-05-07</t>
        </is>
      </c>
      <c r="I15" s="3" t="b">
        <v>1</v>
      </c>
    </row>
    <row r="16">
      <c r="A16" s="2" t="inlineStr">
        <is>
          <t>SOS Children's Villages India</t>
        </is>
      </c>
      <c r="B16" s="2" t="inlineStr">
        <is>
          <t>New Delhi, Delhi</t>
        </is>
      </c>
      <c r="C16" s="2" t="inlineStr">
        <is>
          <t>https://www.sos-india.org</t>
        </is>
      </c>
      <c r="D16" s="2" t="inlineStr">
        <is>
          <t>Child Welfare</t>
        </is>
      </c>
      <c r="E16" s="2" t="inlineStr">
        <is>
          <t>info@sos-india.org</t>
        </is>
      </c>
      <c r="F16" s="2" t="inlineStr">
        <is>
          <t>https://www.linkedin.com/company/sos-children-s-villages-india</t>
        </is>
      </c>
      <c r="G16" s="2" t="inlineStr">
        <is>
          <t>Public NGO Directory</t>
        </is>
      </c>
      <c r="H16" s="2" t="inlineStr">
        <is>
          <t>2026-05-07</t>
        </is>
      </c>
      <c r="I16" s="2" t="b">
        <v>1</v>
      </c>
    </row>
    <row r="17">
      <c r="A17" s="3" t="inlineStr">
        <is>
          <t>Jan Sahas Social Development Society</t>
        </is>
      </c>
      <c r="B17" s="3" t="inlineStr">
        <is>
          <t>Dewas, Madhya Pradesh</t>
        </is>
      </c>
      <c r="C17" s="3" t="inlineStr">
        <is>
          <t>https://www.jansahas.org</t>
        </is>
      </c>
      <c r="D17" s="3" t="inlineStr">
        <is>
          <t>Human Rights</t>
        </is>
      </c>
      <c r="E17" s="3" t="inlineStr">
        <is>
          <t>info@jansahas.org</t>
        </is>
      </c>
      <c r="F17" s="3" t="inlineStr">
        <is>
          <t>https://www.linkedin.com/company/jan-sahas-social-development-society</t>
        </is>
      </c>
      <c r="G17" s="3" t="inlineStr">
        <is>
          <t>Public NGO Directory</t>
        </is>
      </c>
      <c r="H17" s="3" t="inlineStr">
        <is>
          <t>2026-05-07</t>
        </is>
      </c>
      <c r="I17" s="3" t="b">
        <v>1</v>
      </c>
    </row>
    <row r="18">
      <c r="A18" s="2" t="inlineStr">
        <is>
          <t>Gram Vikas</t>
        </is>
      </c>
      <c r="B18" s="2" t="inlineStr">
        <is>
          <t>Berhampur, Odisha</t>
        </is>
      </c>
      <c r="C18" s="2" t="inlineStr">
        <is>
          <t>https://www.gramvikas.org</t>
        </is>
      </c>
      <c r="D18" s="2" t="inlineStr">
        <is>
          <t>Rural Development</t>
        </is>
      </c>
      <c r="E18" s="2" t="inlineStr">
        <is>
          <t>info@gramvikas.org</t>
        </is>
      </c>
      <c r="F18" s="2" t="inlineStr">
        <is>
          <t>https://www.linkedin.com/company/gram-vikas</t>
        </is>
      </c>
      <c r="G18" s="2" t="inlineStr">
        <is>
          <t>Public NGO Directory</t>
        </is>
      </c>
      <c r="H18" s="2" t="inlineStr">
        <is>
          <t>2026-05-07</t>
        </is>
      </c>
      <c r="I18" s="2" t="b">
        <v>1</v>
      </c>
    </row>
    <row r="19">
      <c r="A19" s="3" t="inlineStr">
        <is>
          <t>Vidya Poshak</t>
        </is>
      </c>
      <c r="B19" s="3" t="inlineStr">
        <is>
          <t>Dharwad, Karnataka</t>
        </is>
      </c>
      <c r="C19" s="3" t="inlineStr">
        <is>
          <t>https://www.vidyaposhak.ngo</t>
        </is>
      </c>
      <c r="D19" s="3" t="inlineStr">
        <is>
          <t>Scholarships</t>
        </is>
      </c>
      <c r="E19" s="3" t="inlineStr">
        <is>
          <t>info@vidyaposhak.ngo</t>
        </is>
      </c>
      <c r="F19" s="3" t="inlineStr">
        <is>
          <t>https://www.linkedin.com/company/vidya-poshak</t>
        </is>
      </c>
      <c r="G19" s="3" t="inlineStr">
        <is>
          <t>Public NGO Directory</t>
        </is>
      </c>
      <c r="H19" s="3" t="inlineStr">
        <is>
          <t>2026-05-07</t>
        </is>
      </c>
      <c r="I19" s="3" t="b">
        <v>1</v>
      </c>
    </row>
    <row r="20">
      <c r="A20" s="2" t="inlineStr">
        <is>
          <t>Parivaar Education Society</t>
        </is>
      </c>
      <c r="B20" s="2" t="inlineStr">
        <is>
          <t>Kolkata, West Bengal</t>
        </is>
      </c>
      <c r="C20" s="2" t="inlineStr">
        <is>
          <t>https://www.parivaar.org</t>
        </is>
      </c>
      <c r="D20" s="2" t="inlineStr">
        <is>
          <t>Education</t>
        </is>
      </c>
      <c r="E20" s="2" t="inlineStr">
        <is>
          <t>info@parivaar.org</t>
        </is>
      </c>
      <c r="F20" s="2" t="inlineStr">
        <is>
          <t>https://www.linkedin.com/company/parivaar-education-society</t>
        </is>
      </c>
      <c r="G20" s="2" t="inlineStr">
        <is>
          <t>Public NGO Directory</t>
        </is>
      </c>
      <c r="H20" s="2" t="inlineStr">
        <is>
          <t>2026-05-07</t>
        </is>
      </c>
      <c r="I20" s="2" t="b">
        <v>1</v>
      </c>
    </row>
    <row r="21">
      <c r="A21" s="3" t="inlineStr">
        <is>
          <t>Navnirmiti</t>
        </is>
      </c>
      <c r="B21" s="3" t="inlineStr">
        <is>
          <t>Pune, Maharashtra</t>
        </is>
      </c>
      <c r="C21" s="3" t="inlineStr">
        <is>
          <t>https://navnirmiti.org</t>
        </is>
      </c>
      <c r="D21" s="3" t="inlineStr">
        <is>
          <t>Education</t>
        </is>
      </c>
      <c r="E21" s="3" t="inlineStr">
        <is>
          <t>info@navnirmiti.org</t>
        </is>
      </c>
      <c r="F21" s="3" t="inlineStr">
        <is>
          <t>https://www.linkedin.com/company/navnirmiti</t>
        </is>
      </c>
      <c r="G21" s="3" t="inlineStr">
        <is>
          <t>Public NGO Directory</t>
        </is>
      </c>
      <c r="H21" s="3" t="inlineStr">
        <is>
          <t>2026-05-07</t>
        </is>
      </c>
      <c r="I21" s="3" t="b">
        <v>1</v>
      </c>
    </row>
    <row r="22">
      <c r="A22" s="2" t="inlineStr">
        <is>
          <t>Digital Empowerment Foundation</t>
        </is>
      </c>
      <c r="B22" s="2" t="inlineStr">
        <is>
          <t>New Delhi, Delhi</t>
        </is>
      </c>
      <c r="C22" s="2" t="inlineStr">
        <is>
          <t>https://www.defindia.org</t>
        </is>
      </c>
      <c r="D22" s="2" t="inlineStr">
        <is>
          <t>Digital Inclusion</t>
        </is>
      </c>
      <c r="E22" s="2" t="inlineStr">
        <is>
          <t>info@defindia.org</t>
        </is>
      </c>
      <c r="F22" s="2" t="inlineStr">
        <is>
          <t>https://www.linkedin.com/company/digital-empowerment-foundation</t>
        </is>
      </c>
      <c r="G22" s="2" t="inlineStr">
        <is>
          <t>Public NGO Directory</t>
        </is>
      </c>
      <c r="H22" s="2" t="inlineStr">
        <is>
          <t>2026-05-07</t>
        </is>
      </c>
      <c r="I22" s="2" t="b">
        <v>1</v>
      </c>
    </row>
    <row r="23">
      <c r="A23" s="3" t="inlineStr">
        <is>
          <t>Uday Foundation</t>
        </is>
      </c>
      <c r="B23" s="3" t="inlineStr">
        <is>
          <t>New Delhi, Delhi</t>
        </is>
      </c>
      <c r="C23" s="3" t="inlineStr">
        <is>
          <t>https://www.udayfoundation.org</t>
        </is>
      </c>
      <c r="D23" s="3" t="inlineStr">
        <is>
          <t>Healthcare</t>
        </is>
      </c>
      <c r="E23" s="3" t="inlineStr">
        <is>
          <t>info@udayfoundation.org</t>
        </is>
      </c>
      <c r="F23" s="3" t="inlineStr">
        <is>
          <t>https://www.linkedin.com/company/uday-foundation</t>
        </is>
      </c>
      <c r="G23" s="3" t="inlineStr">
        <is>
          <t>Public NGO Directory</t>
        </is>
      </c>
      <c r="H23" s="3" t="inlineStr">
        <is>
          <t>2026-05-07</t>
        </is>
      </c>
      <c r="I23" s="3" t="b">
        <v>1</v>
      </c>
    </row>
    <row r="24">
      <c r="A24" s="2" t="inlineStr">
        <is>
          <t>SEWA (Self Employed Women's Association)</t>
        </is>
      </c>
      <c r="B24" s="2" t="inlineStr">
        <is>
          <t>Ahmedabad, Gujarat</t>
        </is>
      </c>
      <c r="C24" s="2" t="inlineStr">
        <is>
          <t>https://www.sewa.org</t>
        </is>
      </c>
      <c r="D24" s="2" t="inlineStr">
        <is>
          <t>Women Empowerment</t>
        </is>
      </c>
      <c r="E24" s="2" t="inlineStr">
        <is>
          <t>info@sewa.org</t>
        </is>
      </c>
      <c r="F24" s="2" t="inlineStr">
        <is>
          <t>https://www.linkedin.com/company/sewa-self-employed-women-s-association</t>
        </is>
      </c>
      <c r="G24" s="2" t="inlineStr">
        <is>
          <t>Public NGO Directory</t>
        </is>
      </c>
      <c r="H24" s="2" t="inlineStr">
        <is>
          <t>2026-05-07</t>
        </is>
      </c>
      <c r="I24" s="2" t="b">
        <v>1</v>
      </c>
    </row>
    <row r="25">
      <c r="A25" s="3" t="inlineStr">
        <is>
          <t>Swayam Shikshan Prayog</t>
        </is>
      </c>
      <c r="B25" s="3" t="inlineStr">
        <is>
          <t>Mumbai, Maharashtra</t>
        </is>
      </c>
      <c r="C25" s="3" t="inlineStr">
        <is>
          <t>https://www.sspindia.org</t>
        </is>
      </c>
      <c r="D25" s="3" t="inlineStr">
        <is>
          <t>Women Empowerment</t>
        </is>
      </c>
      <c r="E25" s="3" t="inlineStr">
        <is>
          <t>info@sspindia.org</t>
        </is>
      </c>
      <c r="F25" s="3" t="inlineStr">
        <is>
          <t>https://www.linkedin.com/company/swayam-shikshan-prayog</t>
        </is>
      </c>
      <c r="G25" s="3" t="inlineStr">
        <is>
          <t>Public NGO Directory</t>
        </is>
      </c>
      <c r="H25" s="3" t="inlineStr">
        <is>
          <t>2026-05-07</t>
        </is>
      </c>
      <c r="I25" s="3" t="b">
        <v>1</v>
      </c>
    </row>
    <row r="26">
      <c r="A26" s="2" t="inlineStr">
        <is>
          <t>Loreto Day School Sealdah</t>
        </is>
      </c>
      <c r="B26" s="2" t="inlineStr">
        <is>
          <t>Kolkata, West Bengal</t>
        </is>
      </c>
      <c r="C26" s="2" t="inlineStr">
        <is>
          <t>https://loretosealdah.org</t>
        </is>
      </c>
      <c r="D26" s="2" t="inlineStr">
        <is>
          <t>Education</t>
        </is>
      </c>
      <c r="E26" s="2" t="inlineStr">
        <is>
          <t>info@loretosealdah.org</t>
        </is>
      </c>
      <c r="F26" s="2" t="inlineStr">
        <is>
          <t>https://www.linkedin.com/company/loreto-day-school-sealdah</t>
        </is>
      </c>
      <c r="G26" s="2" t="inlineStr">
        <is>
          <t>Public NGO Directory</t>
        </is>
      </c>
      <c r="H26" s="2" t="inlineStr">
        <is>
          <t>2026-05-07</t>
        </is>
      </c>
      <c r="I26" s="2" t="b">
        <v>1</v>
      </c>
    </row>
    <row r="27">
      <c r="A27" s="3" t="inlineStr">
        <is>
          <t>Rang De</t>
        </is>
      </c>
      <c r="B27" s="3" t="inlineStr">
        <is>
          <t>Bengaluru, Karnataka</t>
        </is>
      </c>
      <c r="C27" s="3" t="inlineStr">
        <is>
          <t>https://rangde.in</t>
        </is>
      </c>
      <c r="D27" s="3" t="inlineStr">
        <is>
          <t>Microfinance</t>
        </is>
      </c>
      <c r="E27" s="3" t="inlineStr">
        <is>
          <t>info@rangde.in</t>
        </is>
      </c>
      <c r="F27" s="3" t="inlineStr">
        <is>
          <t>https://www.linkedin.com/company/rang-de</t>
        </is>
      </c>
      <c r="G27" s="3" t="inlineStr">
        <is>
          <t>Public NGO Directory</t>
        </is>
      </c>
      <c r="H27" s="3" t="inlineStr">
        <is>
          <t>2026-05-07</t>
        </is>
      </c>
      <c r="I27" s="3" t="b">
        <v>1</v>
      </c>
    </row>
    <row r="28">
      <c r="A28" s="2" t="inlineStr">
        <is>
          <t>Project DEFY</t>
        </is>
      </c>
      <c r="B28" s="2" t="inlineStr">
        <is>
          <t>Bengaluru, Karnataka</t>
        </is>
      </c>
      <c r="C28" s="2" t="inlineStr">
        <is>
          <t>https://projectdefy.org</t>
        </is>
      </c>
      <c r="D28" s="2" t="inlineStr">
        <is>
          <t>Education</t>
        </is>
      </c>
      <c r="E28" s="2" t="inlineStr">
        <is>
          <t>info@projectdefy.org</t>
        </is>
      </c>
      <c r="F28" s="2" t="inlineStr">
        <is>
          <t>https://www.linkedin.com/company/project-defy</t>
        </is>
      </c>
      <c r="G28" s="2" t="inlineStr">
        <is>
          <t>Public NGO Directory</t>
        </is>
      </c>
      <c r="H28" s="2" t="inlineStr">
        <is>
          <t>2026-05-07</t>
        </is>
      </c>
      <c r="I28" s="2" t="b">
        <v>1</v>
      </c>
    </row>
    <row r="29">
      <c r="A29" s="3" t="inlineStr">
        <is>
          <t>Waste Warriors Society</t>
        </is>
      </c>
      <c r="B29" s="3" t="inlineStr">
        <is>
          <t>Dehradun, Uttarakhand</t>
        </is>
      </c>
      <c r="C29" s="3" t="inlineStr">
        <is>
          <t>https://wastewarriors.org</t>
        </is>
      </c>
      <c r="D29" s="3" t="inlineStr">
        <is>
          <t>Environment</t>
        </is>
      </c>
      <c r="E29" s="3" t="inlineStr">
        <is>
          <t>info@wastewarriors.org</t>
        </is>
      </c>
      <c r="F29" s="3" t="inlineStr">
        <is>
          <t>https://www.linkedin.com/company/waste-warriors-society</t>
        </is>
      </c>
      <c r="G29" s="3" t="inlineStr">
        <is>
          <t>Public NGO Directory</t>
        </is>
      </c>
      <c r="H29" s="3" t="inlineStr">
        <is>
          <t>2026-05-07</t>
        </is>
      </c>
      <c r="I29" s="3" t="b">
        <v>1</v>
      </c>
    </row>
    <row r="30">
      <c r="A30" s="2" t="inlineStr">
        <is>
          <t>Arghyam Foundation</t>
        </is>
      </c>
      <c r="B30" s="2" t="inlineStr">
        <is>
          <t>Bengaluru, Karnataka</t>
        </is>
      </c>
      <c r="C30" s="2" t="inlineStr">
        <is>
          <t>https://www.arghyam.org</t>
        </is>
      </c>
      <c r="D30" s="2" t="inlineStr">
        <is>
          <t>Water &amp; Sanitation</t>
        </is>
      </c>
      <c r="E30" s="2" t="inlineStr">
        <is>
          <t>info@arghyam.org</t>
        </is>
      </c>
      <c r="F30" s="2" t="inlineStr">
        <is>
          <t>https://www.linkedin.com/company/arghyam-foundation</t>
        </is>
      </c>
      <c r="G30" s="2" t="inlineStr">
        <is>
          <t>Public NGO Directory</t>
        </is>
      </c>
      <c r="H30" s="2" t="inlineStr">
        <is>
          <t>2026-05-07</t>
        </is>
      </c>
      <c r="I30" s="2" t="b">
        <v>1</v>
      </c>
    </row>
    <row r="31">
      <c r="A31" s="3" t="inlineStr">
        <is>
          <t>Antarang Foundation</t>
        </is>
      </c>
      <c r="B31" s="3" t="inlineStr">
        <is>
          <t>Mumbai, Maharashtra</t>
        </is>
      </c>
      <c r="C31" s="3" t="inlineStr">
        <is>
          <t>https://www.antarangfoundation.org</t>
        </is>
      </c>
      <c r="D31" s="3" t="inlineStr">
        <is>
          <t>Career Guidance</t>
        </is>
      </c>
      <c r="E31" s="3" t="inlineStr">
        <is>
          <t>info@antarangfoundation.org</t>
        </is>
      </c>
      <c r="F31" s="3" t="inlineStr">
        <is>
          <t>https://www.linkedin.com/company/antarang-foundation</t>
        </is>
      </c>
      <c r="G31" s="3" t="inlineStr">
        <is>
          <t>Public NGO Directory</t>
        </is>
      </c>
      <c r="H31" s="3" t="inlineStr">
        <is>
          <t>2026-05-07</t>
        </is>
      </c>
      <c r="I31" s="3" t="b">
        <v>1</v>
      </c>
    </row>
  </sheetData>
  <autoFilter ref="A1:I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32"/>
  <sheetViews>
    <sheetView showGridLines="0" workbookViewId="0">
      <selection activeCell="A1" sqref="A1"/>
    </sheetView>
  </sheetViews>
  <sheetFormatPr baseColWidth="8" defaultRowHeight="15"/>
  <cols>
    <col width="25" customWidth="1" min="2" max="2"/>
    <col width="20" customWidth="1" min="3" max="3"/>
  </cols>
  <sheetData>
    <row r="2" ht="28" customHeight="1">
      <c r="B2" s="4" t="inlineStr">
        <is>
          <t>Lead Generation Summary</t>
        </is>
      </c>
    </row>
    <row r="4">
      <c r="B4" s="5" t="inlineStr">
        <is>
          <t>Total Leads</t>
        </is>
      </c>
      <c r="C4" s="6">
        <f>COUNTA(Leads!A2:A1000)</f>
        <v/>
      </c>
    </row>
    <row r="5">
      <c r="B5" s="5" t="inlineStr">
        <is>
          <t>Emails Generated</t>
        </is>
      </c>
      <c r="C5" s="6">
        <f>COUNTIF(Leads!G2:G1000,"*@*")</f>
        <v/>
      </c>
    </row>
    <row r="6">
      <c r="B6" s="5" t="inlineStr">
        <is>
          <t>Valid Emails</t>
        </is>
      </c>
      <c r="C6" s="6">
        <f>COUNTIF(Leads!I2:I1000,TRUE)</f>
        <v/>
      </c>
    </row>
    <row r="7">
      <c r="B7" s="5" t="inlineStr">
        <is>
          <t>Unique Locations</t>
        </is>
      </c>
      <c r="C7" s="6">
        <f>SUMPRODUCT(1/COUNTIF(Leads!C2:C31,Leads!C2:C31))</f>
        <v/>
      </c>
    </row>
    <row r="8">
      <c r="B8" s="5" t="inlineStr">
        <is>
          <t>Categories Covered</t>
        </is>
      </c>
      <c r="C8" s="6">
        <f>SUMPRODUCT(1/COUNTIF(Leads!D2:D31,Leads!D2:D31))</f>
        <v/>
      </c>
    </row>
    <row r="9">
      <c r="B9" s="5" t="inlineStr">
        <is>
          <t>Date Generated</t>
        </is>
      </c>
      <c r="C9" s="6" t="inlineStr">
        <is>
          <t>2026-05-07</t>
        </is>
      </c>
    </row>
    <row r="11">
      <c r="B11" s="7" t="inlineStr">
        <is>
          <t>Leads by Category</t>
        </is>
      </c>
    </row>
    <row r="12">
      <c r="B12" s="6" t="inlineStr">
        <is>
          <t>Education</t>
        </is>
      </c>
      <c r="C12" s="6" t="n">
        <v>9</v>
      </c>
    </row>
    <row r="13">
      <c r="B13" s="6" t="inlineStr">
        <is>
          <t>Women Empowerment</t>
        </is>
      </c>
      <c r="C13" s="6" t="n">
        <v>2</v>
      </c>
    </row>
    <row r="14">
      <c r="B14" s="6" t="inlineStr">
        <is>
          <t>Human Rights</t>
        </is>
      </c>
      <c r="C14" s="6" t="n">
        <v>1</v>
      </c>
    </row>
    <row r="15">
      <c r="B15" s="6" t="inlineStr">
        <is>
          <t>Water &amp; Sanitation</t>
        </is>
      </c>
      <c r="C15" s="6" t="n">
        <v>1</v>
      </c>
    </row>
    <row r="16">
      <c r="B16" s="6" t="inlineStr">
        <is>
          <t>Environment</t>
        </is>
      </c>
      <c r="C16" s="6" t="n">
        <v>1</v>
      </c>
    </row>
    <row r="17">
      <c r="B17" s="6" t="inlineStr">
        <is>
          <t>Microfinance</t>
        </is>
      </c>
      <c r="C17" s="6" t="n">
        <v>1</v>
      </c>
    </row>
    <row r="18">
      <c r="B18" s="6" t="inlineStr">
        <is>
          <t>Healthcare</t>
        </is>
      </c>
      <c r="C18" s="6" t="n">
        <v>1</v>
      </c>
    </row>
    <row r="19">
      <c r="B19" s="6" t="inlineStr">
        <is>
          <t>Digital Inclusion</t>
        </is>
      </c>
      <c r="C19" s="6" t="n">
        <v>1</v>
      </c>
    </row>
    <row r="20">
      <c r="B20" s="6" t="inlineStr">
        <is>
          <t>Scholarships</t>
        </is>
      </c>
      <c r="C20" s="6" t="n">
        <v>1</v>
      </c>
    </row>
    <row r="21">
      <c r="B21" s="6" t="inlineStr">
        <is>
          <t>Rural Development</t>
        </is>
      </c>
      <c r="C21" s="6" t="n">
        <v>1</v>
      </c>
    </row>
    <row r="22">
      <c r="B22" s="6" t="inlineStr">
        <is>
          <t>Child Welfare</t>
        </is>
      </c>
      <c r="C22" s="6" t="n">
        <v>1</v>
      </c>
    </row>
    <row r="23">
      <c r="B23" s="6" t="inlineStr">
        <is>
          <t>Humanitarian</t>
        </is>
      </c>
      <c r="C23" s="6" t="n">
        <v>1</v>
      </c>
    </row>
    <row r="24">
      <c r="B24" s="6" t="inlineStr">
        <is>
          <t>Platform</t>
        </is>
      </c>
      <c r="C24" s="6" t="n">
        <v>1</v>
      </c>
    </row>
    <row r="25">
      <c r="B25" s="6" t="inlineStr">
        <is>
          <t>Sanitation</t>
        </is>
      </c>
      <c r="C25" s="6" t="n">
        <v>1</v>
      </c>
    </row>
    <row r="26">
      <c r="B26" s="6" t="inlineStr">
        <is>
          <t>Livelihood</t>
        </is>
      </c>
      <c r="C26" s="6" t="n">
        <v>1</v>
      </c>
    </row>
    <row r="27">
      <c r="B27" s="6" t="inlineStr">
        <is>
          <t>Girl Education</t>
        </is>
      </c>
      <c r="C27" s="6" t="n">
        <v>1</v>
      </c>
    </row>
    <row r="28">
      <c r="B28" s="6" t="inlineStr">
        <is>
          <t>Youth Development</t>
        </is>
      </c>
      <c r="C28" s="6" t="n">
        <v>1</v>
      </c>
    </row>
    <row r="29">
      <c r="B29" s="6" t="inlineStr">
        <is>
          <t>Elder Care</t>
        </is>
      </c>
      <c r="C29" s="6" t="n">
        <v>1</v>
      </c>
    </row>
    <row r="30">
      <c r="B30" s="6" t="inlineStr">
        <is>
          <t>Child Rights</t>
        </is>
      </c>
      <c r="C30" s="6" t="n">
        <v>1</v>
      </c>
    </row>
    <row r="31">
      <c r="B31" s="6" t="inlineStr">
        <is>
          <t>Food Security</t>
        </is>
      </c>
      <c r="C31" s="6" t="n">
        <v>1</v>
      </c>
    </row>
    <row r="32">
      <c r="B32" s="6" t="inlineStr">
        <is>
          <t>Career Guidance</t>
        </is>
      </c>
      <c r="C32" s="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2026-05-07T13:05:50Z</dcterms:created>
  <dcterms:modified xsi:type="dcterms:W3CDTF">2026-05-07T13:05:50Z</dcterms:modified>
</cp:coreProperties>
</file>